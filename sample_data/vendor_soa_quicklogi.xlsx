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SOA" sheetId="1" r:id="rId5"/>
  </sheets>
  <definedNames/>
  <calcPr/>
</workbook>
</file>

<file path=xl/sharedStrings.xml><?xml version="1.0" encoding="utf-8"?>
<sst xmlns="http://schemas.openxmlformats.org/spreadsheetml/2006/main" count="86" uniqueCount="46">
  <si>
    <t>Sub Total</t>
  </si>
  <si>
    <t xml:space="preserve">INV Number
</t>
  </si>
  <si>
    <t>INV Date</t>
  </si>
  <si>
    <t>Outstanding Amount</t>
  </si>
  <si>
    <t>Look up</t>
  </si>
  <si>
    <t>Todays date</t>
  </si>
  <si>
    <t>Ageing</t>
  </si>
  <si>
    <t>Amount-AJWW</t>
  </si>
  <si>
    <t>OD to pay</t>
  </si>
  <si>
    <t>Remarksin BT</t>
  </si>
  <si>
    <t>Concan</t>
  </si>
  <si>
    <t>REQUEST SEND</t>
  </si>
  <si>
    <t>Approved</t>
  </si>
  <si>
    <t>Unapproved</t>
  </si>
  <si>
    <t>Remarks</t>
  </si>
  <si>
    <t>Job</t>
  </si>
  <si>
    <t>Ops Person</t>
  </si>
  <si>
    <t>BT Link</t>
  </si>
  <si>
    <t>08/30/2025</t>
  </si>
  <si>
    <t>ok to pay</t>
  </si>
  <si>
    <t>09/04/2025</t>
  </si>
  <si>
    <t>10/21/2025</t>
  </si>
  <si>
    <t>11/26/2025</t>
  </si>
  <si>
    <t>01/31/2026</t>
  </si>
  <si>
    <t>02/02/2026</t>
  </si>
  <si>
    <t>02/03/2026</t>
  </si>
  <si>
    <t>02/09/2026</t>
  </si>
  <si>
    <t>02/13/2026</t>
  </si>
  <si>
    <t>paid</t>
  </si>
  <si>
    <t>02/16/2026</t>
  </si>
  <si>
    <t>02/17/2026</t>
  </si>
  <si>
    <t>02/18/2026</t>
  </si>
  <si>
    <t>02/19/2026</t>
  </si>
  <si>
    <t>pending in BT</t>
  </si>
  <si>
    <t>03/06/2026</t>
  </si>
  <si>
    <t>03/08/2026</t>
  </si>
  <si>
    <t>03/09/2026</t>
  </si>
  <si>
    <t>03/10/2026</t>
  </si>
  <si>
    <t>03/11/2026</t>
  </si>
  <si>
    <t>03/12/2026</t>
  </si>
  <si>
    <t>03/13/2026</t>
  </si>
  <si>
    <t>03/16/2026</t>
  </si>
  <si>
    <t>03/20/2026</t>
  </si>
  <si>
    <t>03/23/2026</t>
  </si>
  <si>
    <t>not due</t>
  </si>
  <si>
    <t>03/24/2026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</si>
</sst>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\ 0.00"/>
    <numFmt numFmtId="165" formatCode="_(&quot;$&quot;* #,##0.00_);_(&quot;$&quot;* \(#,##0.00\);_(&quot;$&quot;* &quot;-&quot;??_);_(@_)"/>
    <numFmt numFmtId="166" formatCode="&quot;$&quot;#,##0.00_);[Red]\(&quot;$&quot;#,##0.00\)"/>
  </numFmts>
  <fonts count="6">
    <font>
      <sz val="10.0"/>
      <color rgb="FF000000"/>
      <name val="Arial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u/>
      <sz val="8.0"/>
      <color theme="1"/>
      <name val="Arial"/>
    </font>
    <font>
      <u/>
      <sz val="8.0"/>
      <color theme="1"/>
      <name val="Arial"/>
    </font>
    <font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B3E5A1"/>
        <bgColor rgb="FFB3E5A1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14" xfId="0" applyAlignment="1" applyBorder="1" applyFont="1" applyNumberFormat="1">
      <alignment horizontal="center"/>
    </xf>
    <xf borderId="1" fillId="2" fontId="2" numFmtId="164" xfId="0" applyBorder="1" applyFont="1" applyNumberFormat="1"/>
    <xf borderId="1" fillId="2" fontId="2" numFmtId="0" xfId="0" applyAlignment="1" applyBorder="1" applyFont="1">
      <alignment horizontal="center"/>
    </xf>
    <xf borderId="1" fillId="2" fontId="2" numFmtId="0" xfId="0" applyBorder="1" applyFont="1"/>
    <xf borderId="1" fillId="2" fontId="2" numFmtId="1" xfId="0" applyBorder="1" applyFont="1" applyNumberFormat="1"/>
    <xf borderId="1" fillId="2" fontId="1" numFmtId="0" xfId="0" applyBorder="1" applyFont="1"/>
    <xf borderId="0" fillId="0" fontId="1" numFmtId="0" xfId="0" applyFont="1"/>
    <xf borderId="3" fillId="0" fontId="3" numFmtId="0" xfId="0" applyAlignment="1" applyBorder="1" applyFont="1">
      <alignment horizontal="center" readingOrder="1" shrinkToFit="0" vertical="center" wrapText="1"/>
    </xf>
    <xf borderId="3" fillId="0" fontId="4" numFmtId="14" xfId="0" applyAlignment="1" applyBorder="1" applyFont="1" applyNumberFormat="1">
      <alignment horizontal="center" readingOrder="1" shrinkToFit="0" vertical="center" wrapText="1"/>
    </xf>
    <xf borderId="2" fillId="3" fontId="1" numFmtId="0" xfId="0" applyAlignment="1" applyBorder="1" applyFill="1" applyFont="1">
      <alignment horizontal="center" vertical="center"/>
    </xf>
    <xf borderId="2" fillId="3" fontId="1" numFmtId="1" xfId="0" applyAlignment="1" applyBorder="1" applyFont="1" applyNumberFormat="1">
      <alignment horizontal="center" vertical="center"/>
    </xf>
    <xf borderId="4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4" fillId="0" fontId="5" numFmtId="0" xfId="0" applyAlignment="1" applyBorder="1" applyFont="1">
      <alignment horizontal="left"/>
    </xf>
    <xf borderId="4" fillId="0" fontId="5" numFmtId="165" xfId="0" applyAlignment="1" applyBorder="1" applyFont="1" applyNumberFormat="1">
      <alignment horizontal="right"/>
    </xf>
    <xf borderId="4" fillId="0" fontId="1" numFmtId="0" xfId="0" applyBorder="1" applyFont="1"/>
    <xf borderId="4" fillId="0" fontId="1" numFmtId="14" xfId="0" applyBorder="1" applyFont="1" applyNumberFormat="1"/>
    <xf borderId="4" fillId="0" fontId="1" numFmtId="166" xfId="0" applyBorder="1" applyFont="1" applyNumberFormat="1"/>
    <xf borderId="3" fillId="0" fontId="1" numFmtId="0" xfId="0" applyBorder="1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1.88"/>
    <col customWidth="1" min="3" max="3" width="14.13"/>
    <col customWidth="1" min="4" max="4" width="11.75"/>
    <col customWidth="1" min="5" max="5" width="10.38"/>
    <col customWidth="1" min="6" max="6" width="11.63"/>
    <col customWidth="1" min="7" max="7" width="13.38"/>
    <col customWidth="1" min="8" max="8" width="11.88"/>
    <col customWidth="1" min="9" max="9" width="15.25"/>
    <col customWidth="1" min="10" max="10" width="19.38"/>
    <col customWidth="1" hidden="1" min="11" max="11" width="22.38"/>
    <col customWidth="1" min="12" max="12" width="11.25"/>
    <col customWidth="1" min="13" max="13" width="17.13"/>
    <col customWidth="1" min="14" max="14" width="18.38"/>
    <col customWidth="1" min="15" max="15" width="13.13"/>
    <col customWidth="1" min="16" max="16" width="16.75"/>
    <col customWidth="1" min="17" max="17" width="14.88"/>
    <col customWidth="1" min="18" max="26" width="22.38"/>
  </cols>
  <sheetData>
    <row r="1">
      <c r="A1" s="1"/>
      <c r="B1" s="2" t="s">
        <v>0</v>
      </c>
      <c r="C1" s="3">
        <f>SUBTOTAL(9, C2:C36)</f>
        <v>4609.83</v>
      </c>
      <c r="D1" s="4"/>
      <c r="E1" s="5"/>
      <c r="F1" s="6"/>
      <c r="G1" s="3"/>
      <c r="H1" s="3"/>
      <c r="I1" s="3"/>
      <c r="J1" s="7"/>
      <c r="K1" s="7"/>
      <c r="L1" s="3">
        <f t="shared" ref="L1:M1" si="1">SUBTOTAL(9, L2:L36)</f>
        <v>0</v>
      </c>
      <c r="M1" s="3">
        <f t="shared" si="1"/>
        <v>4609.83</v>
      </c>
      <c r="N1" s="7"/>
      <c r="O1" s="7"/>
      <c r="P1" s="7"/>
      <c r="Q1" s="7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</v>
      </c>
      <c r="B2" s="10" t="s">
        <v>2</v>
      </c>
      <c r="C2" s="9" t="s">
        <v>3</v>
      </c>
      <c r="D2" s="11" t="s">
        <v>4</v>
      </c>
      <c r="E2" s="11" t="s">
        <v>5</v>
      </c>
      <c r="F2" s="12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3" t="s">
        <v>16</v>
      </c>
      <c r="Q2" s="13" t="s">
        <v>17</v>
      </c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12323.0</v>
      </c>
      <c r="B3" s="15" t="s">
        <v>18</v>
      </c>
      <c r="C3" s="16">
        <v>120.0</v>
      </c>
      <c r="D3" s="17" t="str">
        <f t="shared" ref="D3:D36" si="2">IFERROR(VLOOKUP(A3,'AJWW SOA'!C:C,1,0),"")</f>
        <v/>
      </c>
      <c r="E3" s="18">
        <f t="shared" ref="E3:E36" si="3">TODAY()</f>
        <v>46150</v>
      </c>
      <c r="F3" s="18">
        <f t="shared" ref="F3:F36" si="4">E3-B3</f>
        <v>251</v>
      </c>
      <c r="G3" s="17">
        <f t="shared" ref="G3:G36" si="5">IFERROR(VLOOKUP(A3, 'AJWW SOA'!C:D, 2, FALSE), 0)</f>
        <v>0</v>
      </c>
      <c r="H3" s="19">
        <f t="shared" ref="H3:H36" si="6">IF(G3=0, 0, C3-G3)</f>
        <v>0</v>
      </c>
      <c r="I3" s="17" t="str">
        <f t="shared" ref="I3:I36" si="7">IFERROR(VLOOKUP(A3,Waiting!F:U,16,0),"")</f>
        <v/>
      </c>
      <c r="J3" s="17" t="str">
        <f t="shared" ref="J3:J36" si="8">CONCAT(A3&amp;""&amp;-C3)</f>
        <v>#N/A</v>
      </c>
      <c r="K3" s="17"/>
      <c r="L3" s="17" t="str">
        <f t="shared" ref="L3:L36" si="9">IFERROR(VLOOKUP(J3,'AJWW SOA'!H:I,2,0),"0")</f>
        <v>0</v>
      </c>
      <c r="M3" s="19">
        <f t="shared" ref="M3:M36" si="10">C3-L3</f>
        <v>120</v>
      </c>
      <c r="N3" s="17" t="s">
        <v>19</v>
      </c>
      <c r="O3" s="17" t="str">
        <f t="shared" ref="O3:O36" si="11">IFERROR(VLOOKUP(A3,Waiting!F:I,4,0),"")</f>
        <v/>
      </c>
      <c r="P3" s="20" t="str">
        <f t="shared" ref="P3:P36" si="12">VLOOKUP(A3,Waiting!F:Y,20,0)</f>
        <v>#REF!</v>
      </c>
      <c r="Q3" s="20" t="str">
        <f t="shared" ref="Q3:Q36" si="13">IFERROR(VLOOKUP(A3,Waiting!F:W,18,0),"")</f>
        <v/>
      </c>
      <c r="R3" s="8"/>
      <c r="S3" s="8"/>
      <c r="T3" s="8"/>
      <c r="U3" s="8"/>
      <c r="V3" s="8"/>
      <c r="W3" s="8"/>
      <c r="X3" s="8"/>
      <c r="Y3" s="8"/>
      <c r="Z3" s="8"/>
    </row>
    <row r="4">
      <c r="A4" s="15">
        <v>12324.0</v>
      </c>
      <c r="B4" s="15" t="s">
        <v>20</v>
      </c>
      <c r="C4" s="16">
        <v>120.0</v>
      </c>
      <c r="D4" s="17" t="str">
        <f t="shared" si="2"/>
        <v/>
      </c>
      <c r="E4" s="18">
        <f t="shared" si="3"/>
        <v>46150</v>
      </c>
      <c r="F4" s="18">
        <f t="shared" si="4"/>
        <v>246</v>
      </c>
      <c r="G4" s="17">
        <f t="shared" si="5"/>
        <v>0</v>
      </c>
      <c r="H4" s="19">
        <f t="shared" si="6"/>
        <v>0</v>
      </c>
      <c r="I4" s="17" t="str">
        <f t="shared" si="7"/>
        <v/>
      </c>
      <c r="J4" s="17" t="str">
        <f t="shared" si="8"/>
        <v>#N/A</v>
      </c>
      <c r="K4" s="17"/>
      <c r="L4" s="17" t="str">
        <f t="shared" si="9"/>
        <v>0</v>
      </c>
      <c r="M4" s="19">
        <f t="shared" si="10"/>
        <v>120</v>
      </c>
      <c r="N4" s="17" t="s">
        <v>19</v>
      </c>
      <c r="O4" s="17" t="str">
        <f t="shared" si="11"/>
        <v/>
      </c>
      <c r="P4" s="20" t="str">
        <f t="shared" si="12"/>
        <v>#REF!</v>
      </c>
      <c r="Q4" s="20" t="str">
        <f t="shared" si="13"/>
        <v/>
      </c>
      <c r="R4" s="8"/>
      <c r="S4" s="8"/>
      <c r="T4" s="8"/>
      <c r="U4" s="8"/>
      <c r="V4" s="8"/>
      <c r="W4" s="8"/>
      <c r="X4" s="8"/>
      <c r="Y4" s="8"/>
      <c r="Z4" s="8"/>
    </row>
    <row r="5">
      <c r="A5" s="15">
        <v>13507.0</v>
      </c>
      <c r="B5" s="15" t="s">
        <v>21</v>
      </c>
      <c r="C5" s="16">
        <v>240.0</v>
      </c>
      <c r="D5" s="17" t="str">
        <f t="shared" si="2"/>
        <v/>
      </c>
      <c r="E5" s="18">
        <f t="shared" si="3"/>
        <v>46150</v>
      </c>
      <c r="F5" s="18">
        <f t="shared" si="4"/>
        <v>199</v>
      </c>
      <c r="G5" s="17">
        <f t="shared" si="5"/>
        <v>0</v>
      </c>
      <c r="H5" s="19">
        <f t="shared" si="6"/>
        <v>0</v>
      </c>
      <c r="I5" s="17" t="str">
        <f t="shared" si="7"/>
        <v/>
      </c>
      <c r="J5" s="17" t="str">
        <f t="shared" si="8"/>
        <v>#N/A</v>
      </c>
      <c r="K5" s="17"/>
      <c r="L5" s="17" t="str">
        <f t="shared" si="9"/>
        <v>0</v>
      </c>
      <c r="M5" s="19">
        <f t="shared" si="10"/>
        <v>240</v>
      </c>
      <c r="N5" s="17" t="s">
        <v>19</v>
      </c>
      <c r="O5" s="17" t="str">
        <f t="shared" si="11"/>
        <v/>
      </c>
      <c r="P5" s="20" t="str">
        <f t="shared" si="12"/>
        <v>#REF!</v>
      </c>
      <c r="Q5" s="20" t="str">
        <f t="shared" si="13"/>
        <v/>
      </c>
      <c r="R5" s="8"/>
      <c r="S5" s="8"/>
      <c r="T5" s="8"/>
      <c r="U5" s="8"/>
      <c r="V5" s="8"/>
      <c r="W5" s="8"/>
      <c r="X5" s="8"/>
      <c r="Y5" s="8"/>
      <c r="Z5" s="8"/>
    </row>
    <row r="6">
      <c r="A6" s="15">
        <v>14638.0</v>
      </c>
      <c r="B6" s="15" t="s">
        <v>22</v>
      </c>
      <c r="C6" s="16">
        <v>240.0</v>
      </c>
      <c r="D6" s="17" t="str">
        <f t="shared" si="2"/>
        <v/>
      </c>
      <c r="E6" s="18">
        <f t="shared" si="3"/>
        <v>46150</v>
      </c>
      <c r="F6" s="18">
        <f t="shared" si="4"/>
        <v>163</v>
      </c>
      <c r="G6" s="17">
        <f t="shared" si="5"/>
        <v>0</v>
      </c>
      <c r="H6" s="19">
        <f t="shared" si="6"/>
        <v>0</v>
      </c>
      <c r="I6" s="17" t="str">
        <f t="shared" si="7"/>
        <v/>
      </c>
      <c r="J6" s="17" t="str">
        <f t="shared" si="8"/>
        <v>#N/A</v>
      </c>
      <c r="K6" s="17"/>
      <c r="L6" s="17" t="str">
        <f t="shared" si="9"/>
        <v>0</v>
      </c>
      <c r="M6" s="19">
        <f t="shared" si="10"/>
        <v>240</v>
      </c>
      <c r="N6" s="17" t="s">
        <v>19</v>
      </c>
      <c r="O6" s="17" t="str">
        <f t="shared" si="11"/>
        <v/>
      </c>
      <c r="P6" s="20" t="str">
        <f t="shared" si="12"/>
        <v>#REF!</v>
      </c>
      <c r="Q6" s="20" t="str">
        <f t="shared" si="13"/>
        <v/>
      </c>
      <c r="R6" s="8"/>
      <c r="S6" s="8"/>
      <c r="T6" s="8"/>
      <c r="U6" s="8"/>
      <c r="V6" s="8"/>
      <c r="W6" s="8"/>
      <c r="X6" s="8"/>
      <c r="Y6" s="8"/>
      <c r="Z6" s="8"/>
    </row>
    <row r="7">
      <c r="A7" s="15">
        <v>16593.0</v>
      </c>
      <c r="B7" s="15" t="s">
        <v>23</v>
      </c>
      <c r="C7" s="16">
        <v>140.0</v>
      </c>
      <c r="D7" s="17" t="str">
        <f t="shared" si="2"/>
        <v/>
      </c>
      <c r="E7" s="18">
        <f t="shared" si="3"/>
        <v>46150</v>
      </c>
      <c r="F7" s="18">
        <f t="shared" si="4"/>
        <v>97</v>
      </c>
      <c r="G7" s="17">
        <f t="shared" si="5"/>
        <v>0</v>
      </c>
      <c r="H7" s="19">
        <f t="shared" si="6"/>
        <v>0</v>
      </c>
      <c r="I7" s="17" t="str">
        <f t="shared" si="7"/>
        <v/>
      </c>
      <c r="J7" s="17" t="str">
        <f t="shared" si="8"/>
        <v>#N/A</v>
      </c>
      <c r="K7" s="17"/>
      <c r="L7" s="17" t="str">
        <f t="shared" si="9"/>
        <v>0</v>
      </c>
      <c r="M7" s="19">
        <f t="shared" si="10"/>
        <v>140</v>
      </c>
      <c r="N7" s="17" t="s">
        <v>19</v>
      </c>
      <c r="O7" s="17" t="str">
        <f t="shared" si="11"/>
        <v/>
      </c>
      <c r="P7" s="20" t="str">
        <f t="shared" si="12"/>
        <v>#REF!</v>
      </c>
      <c r="Q7" s="20" t="str">
        <f t="shared" si="13"/>
        <v/>
      </c>
      <c r="R7" s="8"/>
      <c r="S7" s="8"/>
      <c r="T7" s="8"/>
      <c r="U7" s="8"/>
      <c r="V7" s="8"/>
      <c r="W7" s="8"/>
      <c r="X7" s="8"/>
      <c r="Y7" s="8"/>
      <c r="Z7" s="8"/>
    </row>
    <row r="8">
      <c r="A8" s="15">
        <v>16656.0</v>
      </c>
      <c r="B8" s="15" t="s">
        <v>24</v>
      </c>
      <c r="C8" s="16">
        <v>114.0</v>
      </c>
      <c r="D8" s="17" t="str">
        <f t="shared" si="2"/>
        <v/>
      </c>
      <c r="E8" s="18">
        <f t="shared" si="3"/>
        <v>46150</v>
      </c>
      <c r="F8" s="18">
        <f t="shared" si="4"/>
        <v>95</v>
      </c>
      <c r="G8" s="17">
        <f t="shared" si="5"/>
        <v>0</v>
      </c>
      <c r="H8" s="19">
        <f t="shared" si="6"/>
        <v>0</v>
      </c>
      <c r="I8" s="17" t="str">
        <f t="shared" si="7"/>
        <v/>
      </c>
      <c r="J8" s="17" t="str">
        <f t="shared" si="8"/>
        <v>#N/A</v>
      </c>
      <c r="K8" s="17"/>
      <c r="L8" s="17" t="str">
        <f t="shared" si="9"/>
        <v>0</v>
      </c>
      <c r="M8" s="19">
        <f t="shared" si="10"/>
        <v>114</v>
      </c>
      <c r="N8" s="17" t="s">
        <v>19</v>
      </c>
      <c r="O8" s="17" t="str">
        <f t="shared" si="11"/>
        <v/>
      </c>
      <c r="P8" s="20" t="str">
        <f t="shared" si="12"/>
        <v>#REF!</v>
      </c>
      <c r="Q8" s="20" t="str">
        <f t="shared" si="13"/>
        <v/>
      </c>
      <c r="R8" s="8"/>
      <c r="S8" s="8"/>
      <c r="T8" s="8"/>
      <c r="U8" s="8"/>
      <c r="V8" s="8"/>
      <c r="W8" s="8"/>
      <c r="X8" s="8"/>
      <c r="Y8" s="8"/>
      <c r="Z8" s="8"/>
    </row>
    <row r="9">
      <c r="A9" s="15">
        <v>16674.0</v>
      </c>
      <c r="B9" s="15" t="s">
        <v>25</v>
      </c>
      <c r="C9" s="16">
        <v>65.0</v>
      </c>
      <c r="D9" s="17" t="str">
        <f t="shared" si="2"/>
        <v/>
      </c>
      <c r="E9" s="18">
        <f t="shared" si="3"/>
        <v>46150</v>
      </c>
      <c r="F9" s="18">
        <f t="shared" si="4"/>
        <v>94</v>
      </c>
      <c r="G9" s="17">
        <f t="shared" si="5"/>
        <v>0</v>
      </c>
      <c r="H9" s="19">
        <f t="shared" si="6"/>
        <v>0</v>
      </c>
      <c r="I9" s="17" t="str">
        <f t="shared" si="7"/>
        <v/>
      </c>
      <c r="J9" s="17" t="str">
        <f t="shared" si="8"/>
        <v>#N/A</v>
      </c>
      <c r="K9" s="17"/>
      <c r="L9" s="17" t="str">
        <f t="shared" si="9"/>
        <v>0</v>
      </c>
      <c r="M9" s="19">
        <f t="shared" si="10"/>
        <v>65</v>
      </c>
      <c r="N9" s="17" t="s">
        <v>19</v>
      </c>
      <c r="O9" s="17" t="str">
        <f t="shared" si="11"/>
        <v/>
      </c>
      <c r="P9" s="20" t="str">
        <f t="shared" si="12"/>
        <v>#REF!</v>
      </c>
      <c r="Q9" s="20" t="str">
        <f t="shared" si="13"/>
        <v/>
      </c>
      <c r="R9" s="8"/>
      <c r="S9" s="8"/>
      <c r="T9" s="8"/>
      <c r="U9" s="8"/>
      <c r="V9" s="8"/>
      <c r="W9" s="8"/>
      <c r="X9" s="8"/>
      <c r="Y9" s="8"/>
      <c r="Z9" s="8"/>
    </row>
    <row r="10">
      <c r="A10" s="15">
        <v>16807.0</v>
      </c>
      <c r="B10" s="15" t="s">
        <v>26</v>
      </c>
      <c r="C10" s="16">
        <v>58.0</v>
      </c>
      <c r="D10" s="17" t="str">
        <f t="shared" si="2"/>
        <v/>
      </c>
      <c r="E10" s="18">
        <f t="shared" si="3"/>
        <v>46150</v>
      </c>
      <c r="F10" s="18">
        <f t="shared" si="4"/>
        <v>88</v>
      </c>
      <c r="G10" s="17">
        <f t="shared" si="5"/>
        <v>0</v>
      </c>
      <c r="H10" s="19">
        <f t="shared" si="6"/>
        <v>0</v>
      </c>
      <c r="I10" s="17" t="str">
        <f t="shared" si="7"/>
        <v/>
      </c>
      <c r="J10" s="17" t="str">
        <f t="shared" si="8"/>
        <v>#N/A</v>
      </c>
      <c r="K10" s="17"/>
      <c r="L10" s="17" t="str">
        <f t="shared" si="9"/>
        <v>0</v>
      </c>
      <c r="M10" s="19">
        <f t="shared" si="10"/>
        <v>58</v>
      </c>
      <c r="N10" s="17" t="s">
        <v>19</v>
      </c>
      <c r="O10" s="17" t="str">
        <f t="shared" si="11"/>
        <v/>
      </c>
      <c r="P10" s="20" t="str">
        <f t="shared" si="12"/>
        <v>#REF!</v>
      </c>
      <c r="Q10" s="20" t="str">
        <f t="shared" si="13"/>
        <v/>
      </c>
      <c r="R10" s="8"/>
      <c r="S10" s="8"/>
      <c r="T10" s="8"/>
      <c r="U10" s="8"/>
      <c r="V10" s="8"/>
      <c r="W10" s="8"/>
      <c r="X10" s="8"/>
      <c r="Y10" s="8"/>
      <c r="Z10" s="8"/>
    </row>
    <row r="11">
      <c r="A11" s="15">
        <v>17056.0</v>
      </c>
      <c r="B11" s="15" t="s">
        <v>27</v>
      </c>
      <c r="C11" s="16">
        <v>60.0</v>
      </c>
      <c r="D11" s="17" t="str">
        <f t="shared" si="2"/>
        <v/>
      </c>
      <c r="E11" s="18">
        <f t="shared" si="3"/>
        <v>46150</v>
      </c>
      <c r="F11" s="18">
        <f t="shared" si="4"/>
        <v>84</v>
      </c>
      <c r="G11" s="17">
        <f t="shared" si="5"/>
        <v>0</v>
      </c>
      <c r="H11" s="19">
        <f t="shared" si="6"/>
        <v>0</v>
      </c>
      <c r="I11" s="17" t="str">
        <f t="shared" si="7"/>
        <v/>
      </c>
      <c r="J11" s="17" t="str">
        <f t="shared" si="8"/>
        <v>#N/A</v>
      </c>
      <c r="K11" s="17"/>
      <c r="L11" s="17" t="str">
        <f t="shared" si="9"/>
        <v>0</v>
      </c>
      <c r="M11" s="19">
        <f t="shared" si="10"/>
        <v>60</v>
      </c>
      <c r="N11" s="17" t="s">
        <v>19</v>
      </c>
      <c r="O11" s="17" t="str">
        <f t="shared" si="11"/>
        <v/>
      </c>
      <c r="P11" s="20" t="str">
        <f t="shared" si="12"/>
        <v>#REF!</v>
      </c>
      <c r="Q11" s="20" t="str">
        <f t="shared" si="13"/>
        <v/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15">
        <v>17041.0</v>
      </c>
      <c r="B12" s="15" t="s">
        <v>27</v>
      </c>
      <c r="C12" s="16">
        <v>65.0</v>
      </c>
      <c r="D12" s="17" t="str">
        <f t="shared" si="2"/>
        <v/>
      </c>
      <c r="E12" s="18">
        <f t="shared" si="3"/>
        <v>46150</v>
      </c>
      <c r="F12" s="18">
        <f t="shared" si="4"/>
        <v>84</v>
      </c>
      <c r="G12" s="17">
        <f t="shared" si="5"/>
        <v>0</v>
      </c>
      <c r="H12" s="19">
        <f t="shared" si="6"/>
        <v>0</v>
      </c>
      <c r="I12" s="17" t="str">
        <f t="shared" si="7"/>
        <v/>
      </c>
      <c r="J12" s="17" t="str">
        <f t="shared" si="8"/>
        <v>#N/A</v>
      </c>
      <c r="K12" s="17"/>
      <c r="L12" s="17" t="str">
        <f t="shared" si="9"/>
        <v>0</v>
      </c>
      <c r="M12" s="19">
        <f t="shared" si="10"/>
        <v>65</v>
      </c>
      <c r="N12" s="17" t="s">
        <v>19</v>
      </c>
      <c r="O12" s="17" t="str">
        <f t="shared" si="11"/>
        <v/>
      </c>
      <c r="P12" s="20" t="str">
        <f t="shared" si="12"/>
        <v>#REF!</v>
      </c>
      <c r="Q12" s="20" t="str">
        <f t="shared" si="13"/>
        <v/>
      </c>
      <c r="R12" s="8"/>
      <c r="S12" s="8"/>
      <c r="T12" s="8"/>
      <c r="U12" s="8"/>
      <c r="V12" s="8"/>
      <c r="W12" s="8"/>
      <c r="X12" s="8"/>
      <c r="Y12" s="8"/>
      <c r="Z12" s="8"/>
    </row>
    <row r="13">
      <c r="A13" s="15">
        <v>17044.0</v>
      </c>
      <c r="B13" s="15" t="s">
        <v>27</v>
      </c>
      <c r="C13" s="16">
        <v>185.0</v>
      </c>
      <c r="D13" s="17" t="str">
        <f t="shared" si="2"/>
        <v/>
      </c>
      <c r="E13" s="18">
        <f t="shared" si="3"/>
        <v>46150</v>
      </c>
      <c r="F13" s="18">
        <f t="shared" si="4"/>
        <v>84</v>
      </c>
      <c r="G13" s="17">
        <f t="shared" si="5"/>
        <v>0</v>
      </c>
      <c r="H13" s="19">
        <f t="shared" si="6"/>
        <v>0</v>
      </c>
      <c r="I13" s="17" t="str">
        <f t="shared" si="7"/>
        <v/>
      </c>
      <c r="J13" s="17" t="str">
        <f t="shared" si="8"/>
        <v>#N/A</v>
      </c>
      <c r="K13" s="17"/>
      <c r="L13" s="17" t="str">
        <f t="shared" si="9"/>
        <v>0</v>
      </c>
      <c r="M13" s="19">
        <f t="shared" si="10"/>
        <v>185</v>
      </c>
      <c r="N13" s="17" t="s">
        <v>28</v>
      </c>
      <c r="O13" s="17" t="str">
        <f t="shared" si="11"/>
        <v/>
      </c>
      <c r="P13" s="20" t="str">
        <f t="shared" si="12"/>
        <v>#REF!</v>
      </c>
      <c r="Q13" s="20" t="str">
        <f t="shared" si="13"/>
        <v/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15">
        <v>17087.0</v>
      </c>
      <c r="B14" s="15" t="s">
        <v>29</v>
      </c>
      <c r="C14" s="16">
        <v>162.0</v>
      </c>
      <c r="D14" s="17" t="str">
        <f t="shared" si="2"/>
        <v/>
      </c>
      <c r="E14" s="18">
        <f t="shared" si="3"/>
        <v>46150</v>
      </c>
      <c r="F14" s="18">
        <f t="shared" si="4"/>
        <v>81</v>
      </c>
      <c r="G14" s="17">
        <f t="shared" si="5"/>
        <v>0</v>
      </c>
      <c r="H14" s="19">
        <f t="shared" si="6"/>
        <v>0</v>
      </c>
      <c r="I14" s="17" t="str">
        <f t="shared" si="7"/>
        <v/>
      </c>
      <c r="J14" s="17" t="str">
        <f t="shared" si="8"/>
        <v>#N/A</v>
      </c>
      <c r="K14" s="17"/>
      <c r="L14" s="17" t="str">
        <f t="shared" si="9"/>
        <v>0</v>
      </c>
      <c r="M14" s="19">
        <f t="shared" si="10"/>
        <v>162</v>
      </c>
      <c r="N14" s="17" t="s">
        <v>19</v>
      </c>
      <c r="O14" s="17" t="str">
        <f t="shared" si="11"/>
        <v/>
      </c>
      <c r="P14" s="20" t="str">
        <f t="shared" si="12"/>
        <v>#REF!</v>
      </c>
      <c r="Q14" s="20" t="str">
        <f t="shared" si="13"/>
        <v/>
      </c>
      <c r="R14" s="8"/>
      <c r="S14" s="8"/>
      <c r="T14" s="8"/>
      <c r="U14" s="8"/>
      <c r="V14" s="8"/>
      <c r="W14" s="8"/>
      <c r="X14" s="8"/>
      <c r="Y14" s="8"/>
      <c r="Z14" s="8"/>
    </row>
    <row r="15">
      <c r="A15" s="15">
        <v>17081.0</v>
      </c>
      <c r="B15" s="15" t="s">
        <v>29</v>
      </c>
      <c r="C15" s="16">
        <v>450.0</v>
      </c>
      <c r="D15" s="17" t="str">
        <f t="shared" si="2"/>
        <v/>
      </c>
      <c r="E15" s="18">
        <f t="shared" si="3"/>
        <v>46150</v>
      </c>
      <c r="F15" s="18">
        <f t="shared" si="4"/>
        <v>81</v>
      </c>
      <c r="G15" s="17">
        <f t="shared" si="5"/>
        <v>0</v>
      </c>
      <c r="H15" s="19">
        <f t="shared" si="6"/>
        <v>0</v>
      </c>
      <c r="I15" s="17" t="str">
        <f t="shared" si="7"/>
        <v/>
      </c>
      <c r="J15" s="17" t="str">
        <f t="shared" si="8"/>
        <v>#N/A</v>
      </c>
      <c r="K15" s="17"/>
      <c r="L15" s="17" t="str">
        <f t="shared" si="9"/>
        <v>0</v>
      </c>
      <c r="M15" s="19">
        <f t="shared" si="10"/>
        <v>450</v>
      </c>
      <c r="N15" s="17" t="s">
        <v>28</v>
      </c>
      <c r="O15" s="17" t="str">
        <f t="shared" si="11"/>
        <v/>
      </c>
      <c r="P15" s="20" t="str">
        <f t="shared" si="12"/>
        <v>#REF!</v>
      </c>
      <c r="Q15" s="20" t="str">
        <f t="shared" si="13"/>
        <v/>
      </c>
      <c r="R15" s="8"/>
      <c r="S15" s="8"/>
      <c r="T15" s="8"/>
      <c r="U15" s="8"/>
      <c r="V15" s="8"/>
      <c r="W15" s="8"/>
      <c r="X15" s="8"/>
      <c r="Y15" s="8"/>
      <c r="Z15" s="8"/>
    </row>
    <row r="16">
      <c r="A16" s="15">
        <v>17114.0</v>
      </c>
      <c r="B16" s="15" t="s">
        <v>30</v>
      </c>
      <c r="C16" s="16">
        <v>105.0</v>
      </c>
      <c r="D16" s="17" t="str">
        <f t="shared" si="2"/>
        <v/>
      </c>
      <c r="E16" s="18">
        <f t="shared" si="3"/>
        <v>46150</v>
      </c>
      <c r="F16" s="18">
        <f t="shared" si="4"/>
        <v>80</v>
      </c>
      <c r="G16" s="17">
        <f t="shared" si="5"/>
        <v>0</v>
      </c>
      <c r="H16" s="19">
        <f t="shared" si="6"/>
        <v>0</v>
      </c>
      <c r="I16" s="17" t="str">
        <f t="shared" si="7"/>
        <v/>
      </c>
      <c r="J16" s="17" t="str">
        <f t="shared" si="8"/>
        <v>#N/A</v>
      </c>
      <c r="K16" s="17"/>
      <c r="L16" s="17" t="str">
        <f t="shared" si="9"/>
        <v>0</v>
      </c>
      <c r="M16" s="19">
        <f t="shared" si="10"/>
        <v>105</v>
      </c>
      <c r="N16" s="17" t="s">
        <v>28</v>
      </c>
      <c r="O16" s="17" t="str">
        <f t="shared" si="11"/>
        <v/>
      </c>
      <c r="P16" s="20" t="str">
        <f t="shared" si="12"/>
        <v>#REF!</v>
      </c>
      <c r="Q16" s="20" t="str">
        <f t="shared" si="13"/>
        <v/>
      </c>
      <c r="R16" s="8"/>
      <c r="S16" s="8"/>
      <c r="T16" s="8"/>
      <c r="U16" s="8"/>
      <c r="V16" s="8"/>
      <c r="W16" s="8"/>
      <c r="X16" s="8"/>
      <c r="Y16" s="8"/>
      <c r="Z16" s="8"/>
    </row>
    <row r="17">
      <c r="A17" s="15">
        <v>17125.0</v>
      </c>
      <c r="B17" s="15" t="s">
        <v>30</v>
      </c>
      <c r="C17" s="16">
        <v>108.0</v>
      </c>
      <c r="D17" s="17" t="str">
        <f t="shared" si="2"/>
        <v/>
      </c>
      <c r="E17" s="18">
        <f t="shared" si="3"/>
        <v>46150</v>
      </c>
      <c r="F17" s="18">
        <f t="shared" si="4"/>
        <v>80</v>
      </c>
      <c r="G17" s="17">
        <f t="shared" si="5"/>
        <v>0</v>
      </c>
      <c r="H17" s="19">
        <f t="shared" si="6"/>
        <v>0</v>
      </c>
      <c r="I17" s="17" t="str">
        <f t="shared" si="7"/>
        <v/>
      </c>
      <c r="J17" s="17" t="str">
        <f t="shared" si="8"/>
        <v>#N/A</v>
      </c>
      <c r="K17" s="17"/>
      <c r="L17" s="17" t="str">
        <f t="shared" si="9"/>
        <v>0</v>
      </c>
      <c r="M17" s="19">
        <f t="shared" si="10"/>
        <v>108</v>
      </c>
      <c r="N17" s="17" t="s">
        <v>19</v>
      </c>
      <c r="O17" s="17" t="str">
        <f t="shared" si="11"/>
        <v/>
      </c>
      <c r="P17" s="20" t="str">
        <f t="shared" si="12"/>
        <v>#REF!</v>
      </c>
      <c r="Q17" s="20" t="str">
        <f t="shared" si="13"/>
        <v/>
      </c>
      <c r="R17" s="8"/>
      <c r="S17" s="8"/>
      <c r="T17" s="8"/>
      <c r="U17" s="8"/>
      <c r="V17" s="8"/>
      <c r="W17" s="8"/>
      <c r="X17" s="8"/>
      <c r="Y17" s="8"/>
      <c r="Z17" s="8"/>
    </row>
    <row r="18">
      <c r="A18" s="15">
        <v>17165.0</v>
      </c>
      <c r="B18" s="15" t="s">
        <v>31</v>
      </c>
      <c r="C18" s="16">
        <v>65.0</v>
      </c>
      <c r="D18" s="17" t="str">
        <f t="shared" si="2"/>
        <v/>
      </c>
      <c r="E18" s="18">
        <f t="shared" si="3"/>
        <v>46150</v>
      </c>
      <c r="F18" s="18">
        <f t="shared" si="4"/>
        <v>79</v>
      </c>
      <c r="G18" s="17">
        <f t="shared" si="5"/>
        <v>0</v>
      </c>
      <c r="H18" s="19">
        <f t="shared" si="6"/>
        <v>0</v>
      </c>
      <c r="I18" s="17" t="str">
        <f t="shared" si="7"/>
        <v/>
      </c>
      <c r="J18" s="17" t="str">
        <f t="shared" si="8"/>
        <v>#N/A</v>
      </c>
      <c r="K18" s="17"/>
      <c r="L18" s="17" t="str">
        <f t="shared" si="9"/>
        <v>0</v>
      </c>
      <c r="M18" s="19">
        <f t="shared" si="10"/>
        <v>65</v>
      </c>
      <c r="N18" s="17" t="s">
        <v>19</v>
      </c>
      <c r="O18" s="17" t="str">
        <f t="shared" si="11"/>
        <v/>
      </c>
      <c r="P18" s="20" t="str">
        <f t="shared" si="12"/>
        <v>#REF!</v>
      </c>
      <c r="Q18" s="20" t="str">
        <f t="shared" si="13"/>
        <v/>
      </c>
      <c r="R18" s="8"/>
      <c r="S18" s="8"/>
      <c r="T18" s="8"/>
      <c r="U18" s="8"/>
      <c r="V18" s="8"/>
      <c r="W18" s="8"/>
      <c r="X18" s="8"/>
      <c r="Y18" s="8"/>
      <c r="Z18" s="8"/>
    </row>
    <row r="19">
      <c r="A19" s="15">
        <v>17167.0</v>
      </c>
      <c r="B19" s="15" t="s">
        <v>31</v>
      </c>
      <c r="C19" s="16">
        <v>65.0</v>
      </c>
      <c r="D19" s="17" t="str">
        <f t="shared" si="2"/>
        <v/>
      </c>
      <c r="E19" s="18">
        <f t="shared" si="3"/>
        <v>46150</v>
      </c>
      <c r="F19" s="18">
        <f t="shared" si="4"/>
        <v>79</v>
      </c>
      <c r="G19" s="17">
        <f t="shared" si="5"/>
        <v>0</v>
      </c>
      <c r="H19" s="19">
        <f t="shared" si="6"/>
        <v>0</v>
      </c>
      <c r="I19" s="17" t="str">
        <f t="shared" si="7"/>
        <v/>
      </c>
      <c r="J19" s="17" t="str">
        <f t="shared" si="8"/>
        <v>#N/A</v>
      </c>
      <c r="K19" s="17"/>
      <c r="L19" s="17" t="str">
        <f t="shared" si="9"/>
        <v>0</v>
      </c>
      <c r="M19" s="19">
        <f t="shared" si="10"/>
        <v>65</v>
      </c>
      <c r="N19" s="17" t="s">
        <v>28</v>
      </c>
      <c r="O19" s="17" t="str">
        <f t="shared" si="11"/>
        <v/>
      </c>
      <c r="P19" s="20" t="str">
        <f t="shared" si="12"/>
        <v>#REF!</v>
      </c>
      <c r="Q19" s="20" t="str">
        <f t="shared" si="13"/>
        <v/>
      </c>
      <c r="R19" s="8"/>
      <c r="S19" s="8"/>
      <c r="T19" s="8"/>
      <c r="U19" s="8"/>
      <c r="V19" s="8"/>
      <c r="W19" s="8"/>
      <c r="X19" s="8"/>
      <c r="Y19" s="8"/>
      <c r="Z19" s="8"/>
    </row>
    <row r="20">
      <c r="A20" s="15">
        <v>17160.0</v>
      </c>
      <c r="B20" s="15" t="s">
        <v>32</v>
      </c>
      <c r="C20" s="16">
        <v>105.0</v>
      </c>
      <c r="D20" s="17" t="str">
        <f t="shared" si="2"/>
        <v/>
      </c>
      <c r="E20" s="18">
        <f t="shared" si="3"/>
        <v>46150</v>
      </c>
      <c r="F20" s="18">
        <f t="shared" si="4"/>
        <v>78</v>
      </c>
      <c r="G20" s="17">
        <f t="shared" si="5"/>
        <v>0</v>
      </c>
      <c r="H20" s="19">
        <f t="shared" si="6"/>
        <v>0</v>
      </c>
      <c r="I20" s="17" t="str">
        <f t="shared" si="7"/>
        <v/>
      </c>
      <c r="J20" s="17" t="str">
        <f t="shared" si="8"/>
        <v>#N/A</v>
      </c>
      <c r="K20" s="17"/>
      <c r="L20" s="17" t="str">
        <f t="shared" si="9"/>
        <v>0</v>
      </c>
      <c r="M20" s="19">
        <f t="shared" si="10"/>
        <v>105</v>
      </c>
      <c r="N20" s="17" t="s">
        <v>33</v>
      </c>
      <c r="O20" s="17" t="str">
        <f t="shared" si="11"/>
        <v/>
      </c>
      <c r="P20" s="20" t="str">
        <f t="shared" si="12"/>
        <v>#REF!</v>
      </c>
      <c r="Q20" s="20" t="str">
        <f t="shared" si="13"/>
        <v/>
      </c>
      <c r="R20" s="8"/>
      <c r="S20" s="8"/>
      <c r="T20" s="8"/>
      <c r="U20" s="8"/>
      <c r="V20" s="8"/>
      <c r="W20" s="8"/>
      <c r="X20" s="8"/>
      <c r="Y20" s="8"/>
      <c r="Z20" s="8"/>
    </row>
    <row r="21">
      <c r="A21" s="15">
        <v>17649.0</v>
      </c>
      <c r="B21" s="15" t="s">
        <v>34</v>
      </c>
      <c r="C21" s="16">
        <v>70.0</v>
      </c>
      <c r="D21" s="17" t="str">
        <f t="shared" si="2"/>
        <v/>
      </c>
      <c r="E21" s="18">
        <f t="shared" si="3"/>
        <v>46150</v>
      </c>
      <c r="F21" s="18">
        <f t="shared" si="4"/>
        <v>63</v>
      </c>
      <c r="G21" s="17">
        <f t="shared" si="5"/>
        <v>0</v>
      </c>
      <c r="H21" s="19">
        <f t="shared" si="6"/>
        <v>0</v>
      </c>
      <c r="I21" s="17" t="str">
        <f t="shared" si="7"/>
        <v/>
      </c>
      <c r="J21" s="17" t="str">
        <f t="shared" si="8"/>
        <v>#N/A</v>
      </c>
      <c r="K21" s="17"/>
      <c r="L21" s="17" t="str">
        <f t="shared" si="9"/>
        <v>0</v>
      </c>
      <c r="M21" s="19">
        <f t="shared" si="10"/>
        <v>70</v>
      </c>
      <c r="N21" s="17" t="s">
        <v>33</v>
      </c>
      <c r="O21" s="17" t="str">
        <f t="shared" si="11"/>
        <v/>
      </c>
      <c r="P21" s="20" t="str">
        <f t="shared" si="12"/>
        <v>#REF!</v>
      </c>
      <c r="Q21" s="20" t="str">
        <f t="shared" si="13"/>
        <v/>
      </c>
      <c r="R21" s="8"/>
      <c r="S21" s="8"/>
      <c r="T21" s="8"/>
      <c r="U21" s="8"/>
      <c r="V21" s="8"/>
      <c r="W21" s="8"/>
      <c r="X21" s="8"/>
      <c r="Y21" s="8"/>
      <c r="Z21" s="8"/>
    </row>
    <row r="22">
      <c r="A22" s="15">
        <v>17770.0</v>
      </c>
      <c r="B22" s="15" t="s">
        <v>35</v>
      </c>
      <c r="C22" s="16">
        <v>155.0</v>
      </c>
      <c r="D22" s="17" t="str">
        <f t="shared" si="2"/>
        <v/>
      </c>
      <c r="E22" s="18">
        <f t="shared" si="3"/>
        <v>46150</v>
      </c>
      <c r="F22" s="18">
        <f t="shared" si="4"/>
        <v>61</v>
      </c>
      <c r="G22" s="17">
        <f t="shared" si="5"/>
        <v>0</v>
      </c>
      <c r="H22" s="19">
        <f t="shared" si="6"/>
        <v>0</v>
      </c>
      <c r="I22" s="17" t="str">
        <f t="shared" si="7"/>
        <v/>
      </c>
      <c r="J22" s="17" t="str">
        <f t="shared" si="8"/>
        <v>#N/A</v>
      </c>
      <c r="K22" s="17"/>
      <c r="L22" s="17" t="str">
        <f t="shared" si="9"/>
        <v>0</v>
      </c>
      <c r="M22" s="19">
        <f t="shared" si="10"/>
        <v>155</v>
      </c>
      <c r="N22" s="17" t="s">
        <v>28</v>
      </c>
      <c r="O22" s="17" t="str">
        <f t="shared" si="11"/>
        <v/>
      </c>
      <c r="P22" s="20" t="str">
        <f t="shared" si="12"/>
        <v>#REF!</v>
      </c>
      <c r="Q22" s="20" t="str">
        <f t="shared" si="13"/>
        <v/>
      </c>
      <c r="R22" s="8"/>
      <c r="S22" s="8"/>
      <c r="T22" s="8"/>
      <c r="U22" s="8"/>
      <c r="V22" s="8"/>
      <c r="W22" s="8"/>
      <c r="X22" s="8"/>
      <c r="Y22" s="8"/>
      <c r="Z22" s="8"/>
    </row>
    <row r="23">
      <c r="A23" s="15">
        <v>17767.0</v>
      </c>
      <c r="B23" s="15" t="s">
        <v>36</v>
      </c>
      <c r="C23" s="16">
        <v>177.0</v>
      </c>
      <c r="D23" s="17" t="str">
        <f t="shared" si="2"/>
        <v/>
      </c>
      <c r="E23" s="18">
        <f t="shared" si="3"/>
        <v>46150</v>
      </c>
      <c r="F23" s="18">
        <f t="shared" si="4"/>
        <v>60</v>
      </c>
      <c r="G23" s="17">
        <f t="shared" si="5"/>
        <v>0</v>
      </c>
      <c r="H23" s="19">
        <f t="shared" si="6"/>
        <v>0</v>
      </c>
      <c r="I23" s="17" t="str">
        <f t="shared" si="7"/>
        <v/>
      </c>
      <c r="J23" s="17" t="str">
        <f t="shared" si="8"/>
        <v>#N/A</v>
      </c>
      <c r="K23" s="17"/>
      <c r="L23" s="17" t="str">
        <f t="shared" si="9"/>
        <v>0</v>
      </c>
      <c r="M23" s="19">
        <f t="shared" si="10"/>
        <v>177</v>
      </c>
      <c r="N23" s="17" t="s">
        <v>28</v>
      </c>
      <c r="O23" s="17" t="str">
        <f t="shared" si="11"/>
        <v/>
      </c>
      <c r="P23" s="20" t="str">
        <f t="shared" si="12"/>
        <v>#REF!</v>
      </c>
      <c r="Q23" s="20" t="str">
        <f t="shared" si="13"/>
        <v/>
      </c>
      <c r="R23" s="8"/>
      <c r="S23" s="8"/>
      <c r="T23" s="8"/>
      <c r="U23" s="8"/>
      <c r="V23" s="8"/>
      <c r="W23" s="8"/>
      <c r="X23" s="8"/>
      <c r="Y23" s="8"/>
      <c r="Z23" s="8"/>
    </row>
    <row r="24">
      <c r="A24" s="15">
        <v>17757.0</v>
      </c>
      <c r="B24" s="15" t="s">
        <v>37</v>
      </c>
      <c r="C24" s="16">
        <v>218.0</v>
      </c>
      <c r="D24" s="17" t="str">
        <f t="shared" si="2"/>
        <v/>
      </c>
      <c r="E24" s="18">
        <f t="shared" si="3"/>
        <v>46150</v>
      </c>
      <c r="F24" s="18">
        <f t="shared" si="4"/>
        <v>59</v>
      </c>
      <c r="G24" s="17">
        <f t="shared" si="5"/>
        <v>0</v>
      </c>
      <c r="H24" s="19">
        <f t="shared" si="6"/>
        <v>0</v>
      </c>
      <c r="I24" s="17" t="str">
        <f t="shared" si="7"/>
        <v/>
      </c>
      <c r="J24" s="17" t="str">
        <f t="shared" si="8"/>
        <v>#N/A</v>
      </c>
      <c r="K24" s="17"/>
      <c r="L24" s="17" t="str">
        <f t="shared" si="9"/>
        <v>0</v>
      </c>
      <c r="M24" s="19">
        <f t="shared" si="10"/>
        <v>218</v>
      </c>
      <c r="N24" s="17" t="s">
        <v>28</v>
      </c>
      <c r="O24" s="17" t="str">
        <f t="shared" si="11"/>
        <v/>
      </c>
      <c r="P24" s="20" t="str">
        <f t="shared" si="12"/>
        <v>#REF!</v>
      </c>
      <c r="Q24" s="20" t="str">
        <f t="shared" si="13"/>
        <v/>
      </c>
      <c r="R24" s="8"/>
      <c r="S24" s="8"/>
      <c r="T24" s="8"/>
      <c r="U24" s="8"/>
      <c r="V24" s="8"/>
      <c r="W24" s="8"/>
      <c r="X24" s="8"/>
      <c r="Y24" s="8"/>
      <c r="Z24" s="8"/>
    </row>
    <row r="25">
      <c r="A25" s="15">
        <v>17788.0</v>
      </c>
      <c r="B25" s="15" t="s">
        <v>38</v>
      </c>
      <c r="C25" s="16">
        <v>45.0</v>
      </c>
      <c r="D25" s="17" t="str">
        <f t="shared" si="2"/>
        <v/>
      </c>
      <c r="E25" s="18">
        <f t="shared" si="3"/>
        <v>46150</v>
      </c>
      <c r="F25" s="18">
        <f t="shared" si="4"/>
        <v>58</v>
      </c>
      <c r="G25" s="17">
        <f t="shared" si="5"/>
        <v>0</v>
      </c>
      <c r="H25" s="19">
        <f t="shared" si="6"/>
        <v>0</v>
      </c>
      <c r="I25" s="17" t="str">
        <f t="shared" si="7"/>
        <v/>
      </c>
      <c r="J25" s="17" t="str">
        <f t="shared" si="8"/>
        <v>#N/A</v>
      </c>
      <c r="K25" s="17"/>
      <c r="L25" s="17" t="str">
        <f t="shared" si="9"/>
        <v>0</v>
      </c>
      <c r="M25" s="19">
        <f t="shared" si="10"/>
        <v>45</v>
      </c>
      <c r="N25" s="17" t="s">
        <v>28</v>
      </c>
      <c r="O25" s="17" t="str">
        <f t="shared" si="11"/>
        <v/>
      </c>
      <c r="P25" s="20" t="str">
        <f t="shared" si="12"/>
        <v>#REF!</v>
      </c>
      <c r="Q25" s="20" t="str">
        <f t="shared" si="13"/>
        <v/>
      </c>
      <c r="R25" s="8"/>
      <c r="S25" s="8"/>
      <c r="T25" s="8"/>
      <c r="U25" s="8"/>
      <c r="V25" s="8"/>
      <c r="W25" s="8"/>
      <c r="X25" s="8"/>
      <c r="Y25" s="8"/>
      <c r="Z25" s="8"/>
    </row>
    <row r="26">
      <c r="A26" s="15">
        <v>17838.0</v>
      </c>
      <c r="B26" s="15" t="s">
        <v>39</v>
      </c>
      <c r="C26" s="16">
        <v>65.0</v>
      </c>
      <c r="D26" s="17" t="str">
        <f t="shared" si="2"/>
        <v/>
      </c>
      <c r="E26" s="18">
        <f t="shared" si="3"/>
        <v>46150</v>
      </c>
      <c r="F26" s="18">
        <f t="shared" si="4"/>
        <v>57</v>
      </c>
      <c r="G26" s="17">
        <f t="shared" si="5"/>
        <v>0</v>
      </c>
      <c r="H26" s="19">
        <f t="shared" si="6"/>
        <v>0</v>
      </c>
      <c r="I26" s="17" t="str">
        <f t="shared" si="7"/>
        <v/>
      </c>
      <c r="J26" s="17" t="str">
        <f t="shared" si="8"/>
        <v>#N/A</v>
      </c>
      <c r="K26" s="17"/>
      <c r="L26" s="17" t="str">
        <f t="shared" si="9"/>
        <v>0</v>
      </c>
      <c r="M26" s="19">
        <f t="shared" si="10"/>
        <v>65</v>
      </c>
      <c r="N26" s="17" t="s">
        <v>28</v>
      </c>
      <c r="O26" s="17" t="str">
        <f t="shared" si="11"/>
        <v/>
      </c>
      <c r="P26" s="20" t="str">
        <f t="shared" si="12"/>
        <v>#REF!</v>
      </c>
      <c r="Q26" s="20" t="str">
        <f t="shared" si="13"/>
        <v/>
      </c>
      <c r="R26" s="8"/>
      <c r="S26" s="8"/>
      <c r="T26" s="8"/>
      <c r="U26" s="8"/>
      <c r="V26" s="8"/>
      <c r="W26" s="8"/>
      <c r="X26" s="8"/>
      <c r="Y26" s="8"/>
      <c r="Z26" s="8"/>
    </row>
    <row r="27">
      <c r="A27" s="15">
        <v>17821.0</v>
      </c>
      <c r="B27" s="15" t="s">
        <v>39</v>
      </c>
      <c r="C27" s="16">
        <v>145.83</v>
      </c>
      <c r="D27" s="17" t="str">
        <f t="shared" si="2"/>
        <v/>
      </c>
      <c r="E27" s="18">
        <f t="shared" si="3"/>
        <v>46150</v>
      </c>
      <c r="F27" s="18">
        <f t="shared" si="4"/>
        <v>57</v>
      </c>
      <c r="G27" s="17">
        <f t="shared" si="5"/>
        <v>0</v>
      </c>
      <c r="H27" s="19">
        <f t="shared" si="6"/>
        <v>0</v>
      </c>
      <c r="I27" s="17" t="str">
        <f t="shared" si="7"/>
        <v/>
      </c>
      <c r="J27" s="17" t="str">
        <f t="shared" si="8"/>
        <v>#N/A</v>
      </c>
      <c r="K27" s="17"/>
      <c r="L27" s="17" t="str">
        <f t="shared" si="9"/>
        <v>0</v>
      </c>
      <c r="M27" s="19">
        <f t="shared" si="10"/>
        <v>145.83</v>
      </c>
      <c r="N27" s="17" t="s">
        <v>28</v>
      </c>
      <c r="O27" s="17" t="str">
        <f t="shared" si="11"/>
        <v/>
      </c>
      <c r="P27" s="20" t="str">
        <f t="shared" si="12"/>
        <v>#REF!</v>
      </c>
      <c r="Q27" s="20" t="str">
        <f t="shared" si="13"/>
        <v/>
      </c>
      <c r="R27" s="8"/>
      <c r="S27" s="8"/>
      <c r="T27" s="8"/>
      <c r="U27" s="8"/>
      <c r="V27" s="8"/>
      <c r="W27" s="8"/>
      <c r="X27" s="8"/>
      <c r="Y27" s="8"/>
      <c r="Z27" s="8"/>
    </row>
    <row r="28">
      <c r="A28" s="15">
        <v>17842.0</v>
      </c>
      <c r="B28" s="15" t="s">
        <v>39</v>
      </c>
      <c r="C28" s="16">
        <v>157.0</v>
      </c>
      <c r="D28" s="17" t="str">
        <f t="shared" si="2"/>
        <v/>
      </c>
      <c r="E28" s="18">
        <f t="shared" si="3"/>
        <v>46150</v>
      </c>
      <c r="F28" s="18">
        <f t="shared" si="4"/>
        <v>57</v>
      </c>
      <c r="G28" s="17">
        <f t="shared" si="5"/>
        <v>0</v>
      </c>
      <c r="H28" s="19">
        <f t="shared" si="6"/>
        <v>0</v>
      </c>
      <c r="I28" s="17" t="str">
        <f t="shared" si="7"/>
        <v/>
      </c>
      <c r="J28" s="17" t="str">
        <f t="shared" si="8"/>
        <v>#N/A</v>
      </c>
      <c r="K28" s="17"/>
      <c r="L28" s="17" t="str">
        <f t="shared" si="9"/>
        <v>0</v>
      </c>
      <c r="M28" s="19">
        <f t="shared" si="10"/>
        <v>157</v>
      </c>
      <c r="N28" s="17" t="s">
        <v>19</v>
      </c>
      <c r="O28" s="17" t="str">
        <f t="shared" si="11"/>
        <v/>
      </c>
      <c r="P28" s="20" t="str">
        <f t="shared" si="12"/>
        <v>#REF!</v>
      </c>
      <c r="Q28" s="20" t="str">
        <f t="shared" si="13"/>
        <v/>
      </c>
      <c r="R28" s="8"/>
      <c r="S28" s="8"/>
      <c r="T28" s="8"/>
      <c r="U28" s="8"/>
      <c r="V28" s="8"/>
      <c r="W28" s="8"/>
      <c r="X28" s="8"/>
      <c r="Y28" s="8"/>
      <c r="Z28" s="8"/>
    </row>
    <row r="29">
      <c r="A29" s="15">
        <v>17866.0</v>
      </c>
      <c r="B29" s="15" t="s">
        <v>40</v>
      </c>
      <c r="C29" s="16">
        <v>68.0</v>
      </c>
      <c r="D29" s="17" t="str">
        <f t="shared" si="2"/>
        <v/>
      </c>
      <c r="E29" s="18">
        <f t="shared" si="3"/>
        <v>46150</v>
      </c>
      <c r="F29" s="18">
        <f t="shared" si="4"/>
        <v>56</v>
      </c>
      <c r="G29" s="17">
        <f t="shared" si="5"/>
        <v>0</v>
      </c>
      <c r="H29" s="19">
        <f t="shared" si="6"/>
        <v>0</v>
      </c>
      <c r="I29" s="17" t="str">
        <f t="shared" si="7"/>
        <v/>
      </c>
      <c r="J29" s="17" t="str">
        <f t="shared" si="8"/>
        <v>#N/A</v>
      </c>
      <c r="K29" s="17"/>
      <c r="L29" s="17" t="str">
        <f t="shared" si="9"/>
        <v>0</v>
      </c>
      <c r="M29" s="19">
        <f t="shared" si="10"/>
        <v>68</v>
      </c>
      <c r="N29" s="17" t="s">
        <v>28</v>
      </c>
      <c r="O29" s="17" t="str">
        <f t="shared" si="11"/>
        <v/>
      </c>
      <c r="P29" s="20" t="str">
        <f t="shared" si="12"/>
        <v>#REF!</v>
      </c>
      <c r="Q29" s="20" t="str">
        <f t="shared" si="13"/>
        <v/>
      </c>
      <c r="R29" s="8"/>
      <c r="S29" s="8"/>
      <c r="T29" s="8"/>
      <c r="U29" s="8"/>
      <c r="V29" s="8"/>
      <c r="W29" s="8"/>
      <c r="X29" s="8"/>
      <c r="Y29" s="8"/>
      <c r="Z29" s="8"/>
    </row>
    <row r="30">
      <c r="A30" s="15">
        <v>17865.0</v>
      </c>
      <c r="B30" s="15" t="s">
        <v>40</v>
      </c>
      <c r="C30" s="16">
        <v>140.0</v>
      </c>
      <c r="D30" s="17" t="str">
        <f t="shared" si="2"/>
        <v/>
      </c>
      <c r="E30" s="18">
        <f t="shared" si="3"/>
        <v>46150</v>
      </c>
      <c r="F30" s="18">
        <f t="shared" si="4"/>
        <v>56</v>
      </c>
      <c r="G30" s="17">
        <f t="shared" si="5"/>
        <v>0</v>
      </c>
      <c r="H30" s="19">
        <f t="shared" si="6"/>
        <v>0</v>
      </c>
      <c r="I30" s="17" t="str">
        <f t="shared" si="7"/>
        <v/>
      </c>
      <c r="J30" s="17" t="str">
        <f t="shared" si="8"/>
        <v>#N/A</v>
      </c>
      <c r="K30" s="17"/>
      <c r="L30" s="17" t="str">
        <f t="shared" si="9"/>
        <v>0</v>
      </c>
      <c r="M30" s="19">
        <f t="shared" si="10"/>
        <v>140</v>
      </c>
      <c r="N30" s="17" t="s">
        <v>19</v>
      </c>
      <c r="O30" s="17" t="str">
        <f t="shared" si="11"/>
        <v/>
      </c>
      <c r="P30" s="20" t="str">
        <f t="shared" si="12"/>
        <v>#REF!</v>
      </c>
      <c r="Q30" s="20" t="str">
        <f t="shared" si="13"/>
        <v/>
      </c>
      <c r="R30" s="8"/>
      <c r="S30" s="8"/>
      <c r="T30" s="8"/>
      <c r="U30" s="8"/>
      <c r="V30" s="8"/>
      <c r="W30" s="8"/>
      <c r="X30" s="8"/>
      <c r="Y30" s="8"/>
      <c r="Z30" s="8"/>
    </row>
    <row r="31">
      <c r="A31" s="15">
        <v>17853.0</v>
      </c>
      <c r="B31" s="15" t="s">
        <v>40</v>
      </c>
      <c r="C31" s="16">
        <v>165.0</v>
      </c>
      <c r="D31" s="17" t="str">
        <f t="shared" si="2"/>
        <v/>
      </c>
      <c r="E31" s="18">
        <f t="shared" si="3"/>
        <v>46150</v>
      </c>
      <c r="F31" s="18">
        <f t="shared" si="4"/>
        <v>56</v>
      </c>
      <c r="G31" s="17">
        <f t="shared" si="5"/>
        <v>0</v>
      </c>
      <c r="H31" s="19">
        <f t="shared" si="6"/>
        <v>0</v>
      </c>
      <c r="I31" s="17" t="str">
        <f t="shared" si="7"/>
        <v/>
      </c>
      <c r="J31" s="17" t="str">
        <f t="shared" si="8"/>
        <v>#N/A</v>
      </c>
      <c r="K31" s="17"/>
      <c r="L31" s="17" t="str">
        <f t="shared" si="9"/>
        <v>0</v>
      </c>
      <c r="M31" s="19">
        <f t="shared" si="10"/>
        <v>165</v>
      </c>
      <c r="N31" s="17" t="s">
        <v>33</v>
      </c>
      <c r="O31" s="17" t="str">
        <f t="shared" si="11"/>
        <v/>
      </c>
      <c r="P31" s="20" t="str">
        <f t="shared" si="12"/>
        <v>#REF!</v>
      </c>
      <c r="Q31" s="20" t="str">
        <f t="shared" si="13"/>
        <v/>
      </c>
      <c r="R31" s="8"/>
      <c r="S31" s="8"/>
      <c r="T31" s="8"/>
      <c r="U31" s="8"/>
      <c r="V31" s="8"/>
      <c r="W31" s="8"/>
      <c r="X31" s="8"/>
      <c r="Y31" s="8"/>
      <c r="Z31" s="8"/>
    </row>
    <row r="32">
      <c r="A32" s="15">
        <v>17904.0</v>
      </c>
      <c r="B32" s="15" t="s">
        <v>41</v>
      </c>
      <c r="C32" s="16">
        <v>162.0</v>
      </c>
      <c r="D32" s="17" t="str">
        <f t="shared" si="2"/>
        <v/>
      </c>
      <c r="E32" s="18">
        <f t="shared" si="3"/>
        <v>46150</v>
      </c>
      <c r="F32" s="18">
        <f t="shared" si="4"/>
        <v>53</v>
      </c>
      <c r="G32" s="17">
        <f t="shared" si="5"/>
        <v>0</v>
      </c>
      <c r="H32" s="19">
        <f t="shared" si="6"/>
        <v>0</v>
      </c>
      <c r="I32" s="17" t="str">
        <f t="shared" si="7"/>
        <v/>
      </c>
      <c r="J32" s="17" t="str">
        <f t="shared" si="8"/>
        <v>#N/A</v>
      </c>
      <c r="K32" s="17"/>
      <c r="L32" s="17" t="str">
        <f t="shared" si="9"/>
        <v>0</v>
      </c>
      <c r="M32" s="19">
        <f t="shared" si="10"/>
        <v>162</v>
      </c>
      <c r="N32" s="17" t="s">
        <v>19</v>
      </c>
      <c r="O32" s="17" t="str">
        <f t="shared" si="11"/>
        <v/>
      </c>
      <c r="P32" s="20" t="str">
        <f t="shared" si="12"/>
        <v>#REF!</v>
      </c>
      <c r="Q32" s="20" t="str">
        <f t="shared" si="13"/>
        <v/>
      </c>
      <c r="R32" s="8"/>
      <c r="S32" s="8"/>
      <c r="T32" s="8"/>
      <c r="U32" s="8"/>
      <c r="V32" s="8"/>
      <c r="W32" s="8"/>
      <c r="X32" s="8"/>
      <c r="Y32" s="8"/>
      <c r="Z32" s="8"/>
    </row>
    <row r="33">
      <c r="A33" s="15">
        <v>18030.0</v>
      </c>
      <c r="B33" s="15" t="s">
        <v>42</v>
      </c>
      <c r="C33" s="16">
        <v>65.0</v>
      </c>
      <c r="D33" s="17" t="str">
        <f t="shared" si="2"/>
        <v/>
      </c>
      <c r="E33" s="18">
        <f t="shared" si="3"/>
        <v>46150</v>
      </c>
      <c r="F33" s="18">
        <f t="shared" si="4"/>
        <v>49</v>
      </c>
      <c r="G33" s="17">
        <f t="shared" si="5"/>
        <v>0</v>
      </c>
      <c r="H33" s="19">
        <f t="shared" si="6"/>
        <v>0</v>
      </c>
      <c r="I33" s="17" t="str">
        <f t="shared" si="7"/>
        <v/>
      </c>
      <c r="J33" s="17" t="str">
        <f t="shared" si="8"/>
        <v>#N/A</v>
      </c>
      <c r="K33" s="17"/>
      <c r="L33" s="17" t="str">
        <f t="shared" si="9"/>
        <v>0</v>
      </c>
      <c r="M33" s="19">
        <f t="shared" si="10"/>
        <v>65</v>
      </c>
      <c r="N33" s="17" t="s">
        <v>19</v>
      </c>
      <c r="O33" s="17" t="str">
        <f t="shared" si="11"/>
        <v/>
      </c>
      <c r="P33" s="20" t="str">
        <f t="shared" si="12"/>
        <v>#REF!</v>
      </c>
      <c r="Q33" s="20" t="str">
        <f t="shared" si="13"/>
        <v/>
      </c>
      <c r="R33" s="8"/>
      <c r="S33" s="8"/>
      <c r="T33" s="8"/>
      <c r="U33" s="8"/>
      <c r="V33" s="8"/>
      <c r="W33" s="8"/>
      <c r="X33" s="8"/>
      <c r="Y33" s="8"/>
      <c r="Z33" s="8"/>
    </row>
    <row r="34">
      <c r="A34" s="15">
        <v>18003.0</v>
      </c>
      <c r="B34" s="15" t="s">
        <v>42</v>
      </c>
      <c r="C34" s="16">
        <v>90.0</v>
      </c>
      <c r="D34" s="17" t="str">
        <f t="shared" si="2"/>
        <v/>
      </c>
      <c r="E34" s="18">
        <f t="shared" si="3"/>
        <v>46150</v>
      </c>
      <c r="F34" s="18">
        <f t="shared" si="4"/>
        <v>49</v>
      </c>
      <c r="G34" s="17">
        <f t="shared" si="5"/>
        <v>0</v>
      </c>
      <c r="H34" s="19">
        <f t="shared" si="6"/>
        <v>0</v>
      </c>
      <c r="I34" s="17" t="str">
        <f t="shared" si="7"/>
        <v/>
      </c>
      <c r="J34" s="17" t="str">
        <f t="shared" si="8"/>
        <v>#N/A</v>
      </c>
      <c r="K34" s="17"/>
      <c r="L34" s="17" t="str">
        <f t="shared" si="9"/>
        <v>0</v>
      </c>
      <c r="M34" s="19">
        <f t="shared" si="10"/>
        <v>90</v>
      </c>
      <c r="N34" s="17" t="s">
        <v>19</v>
      </c>
      <c r="O34" s="17" t="str">
        <f t="shared" si="11"/>
        <v/>
      </c>
      <c r="P34" s="20" t="str">
        <f t="shared" si="12"/>
        <v>#REF!</v>
      </c>
      <c r="Q34" s="20" t="str">
        <f t="shared" si="13"/>
        <v/>
      </c>
      <c r="R34" s="8"/>
      <c r="S34" s="8"/>
      <c r="T34" s="8"/>
      <c r="U34" s="8"/>
      <c r="V34" s="8"/>
      <c r="W34" s="8"/>
      <c r="X34" s="8"/>
      <c r="Y34" s="8"/>
      <c r="Z34" s="8"/>
    </row>
    <row r="35">
      <c r="A35" s="15">
        <v>18028.0</v>
      </c>
      <c r="B35" s="15" t="s">
        <v>43</v>
      </c>
      <c r="C35" s="16">
        <v>243.0</v>
      </c>
      <c r="D35" s="17" t="str">
        <f t="shared" si="2"/>
        <v/>
      </c>
      <c r="E35" s="18">
        <f t="shared" si="3"/>
        <v>46150</v>
      </c>
      <c r="F35" s="18">
        <f t="shared" si="4"/>
        <v>46</v>
      </c>
      <c r="G35" s="17">
        <f t="shared" si="5"/>
        <v>0</v>
      </c>
      <c r="H35" s="19">
        <f t="shared" si="6"/>
        <v>0</v>
      </c>
      <c r="I35" s="17" t="str">
        <f t="shared" si="7"/>
        <v/>
      </c>
      <c r="J35" s="17" t="str">
        <f t="shared" si="8"/>
        <v>#N/A</v>
      </c>
      <c r="K35" s="17"/>
      <c r="L35" s="17" t="str">
        <f t="shared" si="9"/>
        <v>0</v>
      </c>
      <c r="M35" s="19">
        <f t="shared" si="10"/>
        <v>243</v>
      </c>
      <c r="N35" s="17" t="s">
        <v>44</v>
      </c>
      <c r="O35" s="17" t="str">
        <f t="shared" si="11"/>
        <v/>
      </c>
      <c r="P35" s="20" t="str">
        <f t="shared" si="12"/>
        <v>#REF!</v>
      </c>
      <c r="Q35" s="20" t="str">
        <f t="shared" si="13"/>
        <v/>
      </c>
      <c r="R35" s="8"/>
      <c r="S35" s="8"/>
      <c r="T35" s="8"/>
      <c r="U35" s="8"/>
      <c r="V35" s="8"/>
      <c r="W35" s="8"/>
      <c r="X35" s="8"/>
      <c r="Y35" s="8"/>
      <c r="Z35" s="8"/>
    </row>
    <row r="36">
      <c r="A36" s="15">
        <v>18032.0</v>
      </c>
      <c r="B36" s="15" t="s">
        <v>45</v>
      </c>
      <c r="C36" s="16">
        <v>177.0</v>
      </c>
      <c r="D36" s="17" t="str">
        <f t="shared" si="2"/>
        <v/>
      </c>
      <c r="E36" s="18">
        <f t="shared" si="3"/>
        <v>46150</v>
      </c>
      <c r="F36" s="18">
        <f t="shared" si="4"/>
        <v>45</v>
      </c>
      <c r="G36" s="17">
        <f t="shared" si="5"/>
        <v>0</v>
      </c>
      <c r="H36" s="19">
        <f t="shared" si="6"/>
        <v>0</v>
      </c>
      <c r="I36" s="17" t="str">
        <f t="shared" si="7"/>
        <v/>
      </c>
      <c r="J36" s="17" t="str">
        <f t="shared" si="8"/>
        <v>#N/A</v>
      </c>
      <c r="K36" s="17"/>
      <c r="L36" s="17" t="str">
        <f t="shared" si="9"/>
        <v>0</v>
      </c>
      <c r="M36" s="19">
        <f t="shared" si="10"/>
        <v>177</v>
      </c>
      <c r="N36" s="17" t="s">
        <v>44</v>
      </c>
      <c r="O36" s="17" t="str">
        <f t="shared" si="11"/>
        <v/>
      </c>
      <c r="P36" s="20" t="str">
        <f t="shared" si="12"/>
        <v>#REF!</v>
      </c>
      <c r="Q36" s="20" t="str">
        <f t="shared" si="13"/>
        <v/>
      </c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21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21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21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21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21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21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21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21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21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21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21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21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21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21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21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21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21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21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21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21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21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21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21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21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21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21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21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21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21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1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21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21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21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21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21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21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21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21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21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21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21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21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21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21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21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21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21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21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21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21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21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21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21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21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21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21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21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21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21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21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21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21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21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21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21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21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21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21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21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21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21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21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21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21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21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21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21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21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21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21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21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21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21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21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21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21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21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21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21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21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21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21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21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21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21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21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21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21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21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21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21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21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21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21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21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21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21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21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21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21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21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21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21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21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21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21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21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21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21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21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21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21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21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21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21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21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21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21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21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21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21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21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21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21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21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21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21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21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21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21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21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21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21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21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21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21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21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21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21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21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21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21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21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21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21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21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21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21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21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21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21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21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21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21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21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21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21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21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21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21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21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21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21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21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21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21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21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21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21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21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21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21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21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21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21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21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21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21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21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21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21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21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21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21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21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21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21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21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21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21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21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21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21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21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21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21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21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21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21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21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21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21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21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21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21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21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21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21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21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21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21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21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21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21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21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21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21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21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21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21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21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21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21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21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21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21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21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21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21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21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21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21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21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21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21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21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21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21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21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21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21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21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21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21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21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21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21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21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21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21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21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21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21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21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21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21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21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21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21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21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21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21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21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21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21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21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21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21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21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21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21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21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21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21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21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21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21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21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21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21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21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21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21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21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21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21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21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21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21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21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21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21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21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21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21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21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21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21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21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21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21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21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21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21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21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21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21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21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21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21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21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21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21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21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21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21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21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21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21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21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21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21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21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21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21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21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21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21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21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21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21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21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21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21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21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21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21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21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21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21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21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21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21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21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21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21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21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21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21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21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21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21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21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21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21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21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21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21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21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21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21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21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21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21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21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21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21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21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21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21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21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21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21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21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21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21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21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21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21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21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21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21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21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21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21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21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21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21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21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21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21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21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21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21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21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21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21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21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21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21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21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21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21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21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21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21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21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21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21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21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21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21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21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21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21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21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21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21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21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21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21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21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21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21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21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21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21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21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21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21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21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21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21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21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21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21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21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21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21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21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21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21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21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21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21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21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21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21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21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21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21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21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21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21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21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21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21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21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21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21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21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21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21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21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21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21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21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21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21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21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21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21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21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21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21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21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21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21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21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21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21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21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21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21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21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21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21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21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21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21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21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21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21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21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21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21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21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21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21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21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21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21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21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21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21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21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21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21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21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21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21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21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21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21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21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21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21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21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21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21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21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21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21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21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21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21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21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21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21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21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21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21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21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21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21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21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21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21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21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21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21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21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21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21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21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21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21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21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21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21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21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21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21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21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21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21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21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21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21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21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21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21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21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21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21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21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21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21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21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21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21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21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21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21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21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21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21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21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21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21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21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21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21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21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21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21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21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21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21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21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21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21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21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21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21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21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21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21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21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21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21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21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21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21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21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21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21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21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21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21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21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21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21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21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21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21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21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21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21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21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21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21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21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21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21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21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21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21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21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21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21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21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21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21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21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21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21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21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21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21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21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21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21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21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21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21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21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21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21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21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21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21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21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21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21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21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21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21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21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21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21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21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21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21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21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21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21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21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21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21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21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21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21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21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21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21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21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21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21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21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21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21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21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21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21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21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21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21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21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21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21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21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21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21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21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21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21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21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21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21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21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21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21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21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21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21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21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21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21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21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21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21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21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21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21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21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21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21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21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21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21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21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21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21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21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21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21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21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21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21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21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21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21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21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21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21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21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21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21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21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21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21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21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21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21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21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21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21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21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21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21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21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21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21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